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.shortcut-targets-by-id\1B_uibMUfq92Smm_46UQPfYwnlzrCs2jW\CAPSTONE\EVALUACION 3 PRESENTACION\"/>
    </mc:Choice>
  </mc:AlternateContent>
  <xr:revisionPtr revIDLastSave="0" documentId="13_ncr:1_{36A04D6E-FE6E-4843-9FF1-9480EF540F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uj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HrkfkBGcoVqE/lkCmvqkQo8+ZP3eg2Hr9nmFLuW6E="/>
    </ext>
  </extLst>
</workbook>
</file>

<file path=xl/calcChain.xml><?xml version="1.0" encoding="utf-8"?>
<calcChain xmlns="http://schemas.openxmlformats.org/spreadsheetml/2006/main">
  <c r="G13" i="1" l="1"/>
  <c r="D13" i="1"/>
  <c r="E12" i="1"/>
  <c r="D12" i="1"/>
  <c r="W9" i="2"/>
  <c r="J6" i="2"/>
  <c r="V5" i="2"/>
  <c r="U5" i="2"/>
  <c r="T5" i="2"/>
  <c r="S5" i="2"/>
  <c r="R5" i="2"/>
  <c r="Q5" i="2"/>
  <c r="P5" i="2"/>
  <c r="O5" i="2"/>
  <c r="W5" i="2" s="1"/>
  <c r="N5" i="2"/>
  <c r="M5" i="2"/>
  <c r="L5" i="2"/>
  <c r="K5" i="2"/>
  <c r="G46" i="1"/>
  <c r="G35" i="1"/>
  <c r="S20" i="1"/>
  <c r="E20" i="1"/>
  <c r="D20" i="1"/>
  <c r="C20" i="1"/>
  <c r="J15" i="1"/>
  <c r="N14" i="1"/>
  <c r="S13" i="1"/>
  <c r="J13" i="1"/>
  <c r="J16" i="1" s="1"/>
  <c r="S12" i="1"/>
  <c r="S14" i="1" s="1"/>
  <c r="C10" i="1"/>
  <c r="C12" i="1" s="1"/>
  <c r="C13" i="1" s="1"/>
  <c r="E17" i="1" l="1"/>
  <c r="E21" i="1" s="1"/>
  <c r="C19" i="1"/>
  <c r="J17" i="1"/>
  <c r="M6" i="1"/>
  <c r="C17" i="1"/>
  <c r="C21" i="1" s="1"/>
  <c r="C23" i="1" s="1"/>
  <c r="D17" i="1"/>
  <c r="D21" i="1" s="1"/>
  <c r="D8" i="1" l="1"/>
  <c r="M7" i="1"/>
  <c r="G21" i="1"/>
  <c r="J6" i="1" s="1"/>
  <c r="J8" i="1" s="1"/>
  <c r="J9" i="1" s="1"/>
  <c r="D23" i="1" l="1"/>
  <c r="E8" i="1" l="1"/>
  <c r="E13" i="1" s="1"/>
  <c r="M8" i="1"/>
  <c r="E23" i="1" l="1"/>
  <c r="G23" i="1"/>
  <c r="M9" i="1" l="1"/>
  <c r="M16" i="1" s="1"/>
  <c r="M15" i="1" a="1"/>
  <c r="M15" i="1" s="1"/>
</calcChain>
</file>

<file path=xl/sharedStrings.xml><?xml version="1.0" encoding="utf-8"?>
<sst xmlns="http://schemas.openxmlformats.org/spreadsheetml/2006/main" count="119" uniqueCount="98">
  <si>
    <t>FORMULARIO FLUJO DE CAJA</t>
  </si>
  <si>
    <t>Todos los proyectos</t>
  </si>
  <si>
    <t>INGRESOS</t>
  </si>
  <si>
    <t>FLUJOS DE CAJA</t>
  </si>
  <si>
    <t>FICHA PROYECTO</t>
  </si>
  <si>
    <t>DASHBOARD ECONOMICO</t>
  </si>
  <si>
    <t>Sueldos Equipo Desarrollo</t>
  </si>
  <si>
    <t>Mes 1 y2</t>
  </si>
  <si>
    <t>Mes 3 y 4</t>
  </si>
  <si>
    <t>Mes 5 y 6</t>
  </si>
  <si>
    <t>Costo Proyecto</t>
  </si>
  <si>
    <t>Inversión</t>
  </si>
  <si>
    <t>Equipo</t>
  </si>
  <si>
    <t>Cargo</t>
  </si>
  <si>
    <t>Sueldo Mensual</t>
  </si>
  <si>
    <t>Valor Hora</t>
  </si>
  <si>
    <t>/H</t>
  </si>
  <si>
    <t>Cuota Cliente</t>
  </si>
  <si>
    <t>Rentabilidad</t>
  </si>
  <si>
    <t>Flujo Periodo 0</t>
  </si>
  <si>
    <t>Desarrollador</t>
  </si>
  <si>
    <t>Saldo Periodo Anterior</t>
  </si>
  <si>
    <t>Precio Venta</t>
  </si>
  <si>
    <t>Flujo Periodo 1</t>
  </si>
  <si>
    <t>Préstamos</t>
  </si>
  <si>
    <t>Flujo Periodo 2</t>
  </si>
  <si>
    <t>inversion</t>
  </si>
  <si>
    <t xml:space="preserve">Capital Inicial </t>
  </si>
  <si>
    <t>Ingresos Periodo</t>
  </si>
  <si>
    <t>Total sueldos / mes</t>
  </si>
  <si>
    <t>Flujo</t>
  </si>
  <si>
    <t>Préstamo</t>
  </si>
  <si>
    <t>Total sueldo / diario</t>
  </si>
  <si>
    <t>Cuotas</t>
  </si>
  <si>
    <t>Tasa</t>
  </si>
  <si>
    <t>Total sueldos / año</t>
  </si>
  <si>
    <t>Egresos</t>
  </si>
  <si>
    <t>Interes</t>
  </si>
  <si>
    <t>VAN</t>
  </si>
  <si>
    <t>Arriendos</t>
  </si>
  <si>
    <t>Valor Cuota</t>
  </si>
  <si>
    <t>TIR</t>
  </si>
  <si>
    <t>Sueldos Equipo Mantencion</t>
  </si>
  <si>
    <t>Sueldos</t>
  </si>
  <si>
    <t>Costo Crédito</t>
  </si>
  <si>
    <t>Servicios</t>
  </si>
  <si>
    <t>Cuota prestamo</t>
  </si>
  <si>
    <t>INVERSION</t>
  </si>
  <si>
    <t>Otros</t>
  </si>
  <si>
    <t>EGRESOS</t>
  </si>
  <si>
    <t>Nombre</t>
  </si>
  <si>
    <t>Costo</t>
  </si>
  <si>
    <t>Total sueldo / año</t>
  </si>
  <si>
    <t>Total Egresos</t>
  </si>
  <si>
    <t>SALDO</t>
  </si>
  <si>
    <t>Saldos</t>
  </si>
  <si>
    <t>Marketplace</t>
  </si>
  <si>
    <t>Dashboard</t>
  </si>
  <si>
    <t>Inventario de productos</t>
  </si>
  <si>
    <t>Sistema de informes y seguimientos de los productos</t>
  </si>
  <si>
    <t>Registro de marca</t>
  </si>
  <si>
    <t>Registro de Dominio + Hosting + Servidor de Correos</t>
  </si>
  <si>
    <t>Capacitación de Personal con un costo</t>
  </si>
  <si>
    <t xml:space="preserve">Marketing digital y posicionamiento de Marca </t>
  </si>
  <si>
    <t>Estudio de Mercado</t>
  </si>
  <si>
    <t>Implementación</t>
  </si>
  <si>
    <t>Total Otros</t>
  </si>
  <si>
    <t>Otros años 2,3</t>
  </si>
  <si>
    <t>Mantenimiento Pagina WEB</t>
  </si>
  <si>
    <t>Mantenimiento Aplicación Mobile</t>
  </si>
  <si>
    <t>Egreso Gasto</t>
  </si>
  <si>
    <t>Arriendo, sueldo, servicios</t>
  </si>
  <si>
    <t>Egreso Costo</t>
  </si>
  <si>
    <t xml:space="preserve">Implementos tecnológicos y materiales 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</si>
  <si>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</si>
  <si>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</si>
  <si>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</si>
  <si>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</si>
  <si>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</si>
  <si>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</si>
  <si>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</si>
  <si>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</si>
  <si>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</si>
  <si>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</si>
  <si>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</si>
  <si>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</si>
  <si>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SaaS</t>
  </si>
  <si>
    <t>Pago por uso</t>
  </si>
  <si>
    <t>Mensual</t>
  </si>
  <si>
    <t>Proyecto</t>
  </si>
  <si>
    <t>Cliente</t>
  </si>
  <si>
    <t>Licencia</t>
  </si>
  <si>
    <t>Por Proyecto</t>
  </si>
  <si>
    <t>Pedro Arriagada</t>
  </si>
  <si>
    <t>Ian Saldaña</t>
  </si>
  <si>
    <t>Nicolas Carreño</t>
  </si>
  <si>
    <t>Martin Soto</t>
  </si>
  <si>
    <t>Gerardo Yañez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</si>
</sst>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[$$]#,##0"/>
    <numFmt numFmtId="165" formatCode="_ * #,##0.00_ ;_ * \-#,##0.00_ ;_ * &quot;-&quot;_ ;_ @_ "/>
  </numFmts>
  <fonts count="15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theme="1"/>
      <name val="Arial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Arial"/>
    </font>
    <font>
      <b/>
      <sz val="11"/>
      <color rgb="FFFF0000"/>
      <name val="Calibri"/>
    </font>
    <font>
      <sz val="11"/>
      <color theme="1"/>
      <name val="Calibri"/>
      <scheme val="minor"/>
    </font>
    <font>
      <sz val="11"/>
      <color rgb="FF000000"/>
      <name val="Arial Narrow"/>
    </font>
    <font>
      <sz val="11"/>
      <color theme="1"/>
      <name val="Arial Narrow"/>
    </font>
    <font>
      <sz val="11"/>
      <color theme="1"/>
      <name val="Noto Sans Symbols"/>
    </font>
    <font>
      <sz val="11"/>
      <color rgb="FFFF0000"/>
      <name val="Calibri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C9DAF8"/>
        <bgColor rgb="FFC9DAF8"/>
      </patternFill>
    </fill>
    <fill>
      <patternFill patternType="solid">
        <fgColor rgb="FFFFE598"/>
        <bgColor rgb="FFFFE598"/>
      </patternFill>
    </fill>
  </fills>
  <borders count="5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13" xfId="0" applyFont="1" applyFill="1" applyBorder="1"/>
    <xf numFmtId="41" fontId="6" fillId="2" borderId="14" xfId="0" applyNumberFormat="1" applyFont="1" applyFill="1" applyBorder="1"/>
    <xf numFmtId="41" fontId="6" fillId="0" borderId="0" xfId="0" applyNumberFormat="1" applyFont="1"/>
    <xf numFmtId="0" fontId="6" fillId="0" borderId="15" xfId="0" applyFont="1" applyBorder="1"/>
    <xf numFmtId="41" fontId="6" fillId="0" borderId="15" xfId="0" applyNumberFormat="1" applyFont="1" applyBorder="1"/>
    <xf numFmtId="0" fontId="4" fillId="3" borderId="16" xfId="0" applyFont="1" applyFill="1" applyBorder="1"/>
    <xf numFmtId="0" fontId="4" fillId="3" borderId="17" xfId="0" applyFont="1" applyFill="1" applyBorder="1"/>
    <xf numFmtId="0" fontId="4" fillId="3" borderId="17" xfId="0" applyFont="1" applyFill="1" applyBorder="1" applyAlignment="1">
      <alignment horizontal="right"/>
    </xf>
    <xf numFmtId="0" fontId="6" fillId="0" borderId="18" xfId="0" applyFont="1" applyBorder="1" applyAlignment="1">
      <alignment horizontal="center"/>
    </xf>
    <xf numFmtId="164" fontId="6" fillId="0" borderId="15" xfId="0" applyNumberFormat="1" applyFont="1" applyBorder="1"/>
    <xf numFmtId="164" fontId="6" fillId="0" borderId="0" xfId="0" applyNumberFormat="1" applyFont="1"/>
    <xf numFmtId="0" fontId="6" fillId="0" borderId="19" xfId="0" applyFont="1" applyBorder="1"/>
    <xf numFmtId="165" fontId="6" fillId="0" borderId="20" xfId="0" applyNumberFormat="1" applyFont="1" applyBorder="1"/>
    <xf numFmtId="0" fontId="6" fillId="0" borderId="21" xfId="0" applyFont="1" applyBorder="1"/>
    <xf numFmtId="41" fontId="6" fillId="0" borderId="21" xfId="0" applyNumberFormat="1" applyFont="1" applyBorder="1"/>
    <xf numFmtId="0" fontId="7" fillId="0" borderId="21" xfId="0" applyFont="1" applyBorder="1"/>
    <xf numFmtId="164" fontId="7" fillId="0" borderId="21" xfId="0" applyNumberFormat="1" applyFont="1" applyBorder="1"/>
    <xf numFmtId="0" fontId="6" fillId="0" borderId="22" xfId="0" applyFont="1" applyBorder="1" applyAlignment="1">
      <alignment horizontal="center"/>
    </xf>
    <xf numFmtId="164" fontId="6" fillId="0" borderId="21" xfId="0" applyNumberFormat="1" applyFont="1" applyBorder="1"/>
    <xf numFmtId="164" fontId="6" fillId="0" borderId="23" xfId="0" applyNumberFormat="1" applyFont="1" applyBorder="1"/>
    <xf numFmtId="0" fontId="6" fillId="4" borderId="19" xfId="0" applyFont="1" applyFill="1" applyBorder="1"/>
    <xf numFmtId="41" fontId="6" fillId="4" borderId="20" xfId="0" applyNumberFormat="1" applyFont="1" applyFill="1" applyBorder="1"/>
    <xf numFmtId="41" fontId="6" fillId="0" borderId="20" xfId="0" applyNumberFormat="1" applyFont="1" applyBorder="1"/>
    <xf numFmtId="0" fontId="6" fillId="0" borderId="22" xfId="0" applyFont="1" applyBorder="1"/>
    <xf numFmtId="0" fontId="7" fillId="0" borderId="0" xfId="0" applyFont="1"/>
    <xf numFmtId="0" fontId="6" fillId="0" borderId="24" xfId="0" applyFont="1" applyBorder="1"/>
    <xf numFmtId="164" fontId="6" fillId="0" borderId="25" xfId="0" applyNumberFormat="1" applyFont="1" applyBorder="1"/>
    <xf numFmtId="164" fontId="6" fillId="0" borderId="26" xfId="0" applyNumberFormat="1" applyFont="1" applyBorder="1"/>
    <xf numFmtId="0" fontId="8" fillId="0" borderId="0" xfId="0" applyFont="1" applyAlignment="1">
      <alignment horizontal="center"/>
    </xf>
    <xf numFmtId="164" fontId="7" fillId="0" borderId="21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0" fontId="6" fillId="5" borderId="27" xfId="0" applyFont="1" applyFill="1" applyBorder="1"/>
    <xf numFmtId="164" fontId="6" fillId="5" borderId="28" xfId="0" applyNumberFormat="1" applyFont="1" applyFill="1" applyBorder="1"/>
    <xf numFmtId="164" fontId="6" fillId="5" borderId="29" xfId="0" applyNumberFormat="1" applyFont="1" applyFill="1" applyBorder="1"/>
    <xf numFmtId="0" fontId="6" fillId="2" borderId="19" xfId="0" applyFont="1" applyFill="1" applyBorder="1" applyAlignment="1">
      <alignment horizontal="center"/>
    </xf>
    <xf numFmtId="41" fontId="6" fillId="2" borderId="20" xfId="0" applyNumberFormat="1" applyFont="1" applyFill="1" applyBorder="1"/>
    <xf numFmtId="0" fontId="6" fillId="0" borderId="19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9" fontId="6" fillId="0" borderId="0" xfId="0" applyNumberFormat="1" applyFont="1"/>
    <xf numFmtId="0" fontId="7" fillId="0" borderId="30" xfId="0" applyFont="1" applyBorder="1"/>
    <xf numFmtId="165" fontId="6" fillId="0" borderId="0" xfId="0" applyNumberFormat="1" applyFont="1"/>
    <xf numFmtId="41" fontId="6" fillId="0" borderId="21" xfId="0" applyNumberFormat="1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9" fontId="6" fillId="0" borderId="21" xfId="0" applyNumberFormat="1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41" fontId="6" fillId="0" borderId="35" xfId="0" applyNumberFormat="1" applyFont="1" applyBorder="1"/>
    <xf numFmtId="0" fontId="6" fillId="6" borderId="36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7" borderId="38" xfId="0" applyFont="1" applyFill="1" applyBorder="1"/>
    <xf numFmtId="164" fontId="6" fillId="7" borderId="39" xfId="0" applyNumberFormat="1" applyFont="1" applyFill="1" applyBorder="1"/>
    <xf numFmtId="164" fontId="6" fillId="7" borderId="40" xfId="0" applyNumberFormat="1" applyFont="1" applyFill="1" applyBorder="1"/>
    <xf numFmtId="0" fontId="6" fillId="0" borderId="41" xfId="0" applyFont="1" applyBorder="1" applyAlignment="1">
      <alignment wrapText="1"/>
    </xf>
    <xf numFmtId="3" fontId="6" fillId="0" borderId="42" xfId="0" applyNumberFormat="1" applyFont="1" applyBorder="1" applyAlignment="1">
      <alignment horizontal="right" wrapText="1"/>
    </xf>
    <xf numFmtId="0" fontId="9" fillId="0" borderId="0" xfId="0" applyFont="1"/>
    <xf numFmtId="0" fontId="6" fillId="0" borderId="43" xfId="0" applyFont="1" applyBorder="1" applyAlignment="1">
      <alignment wrapText="1"/>
    </xf>
    <xf numFmtId="3" fontId="6" fillId="0" borderId="44" xfId="0" applyNumberFormat="1" applyFont="1" applyBorder="1" applyAlignment="1">
      <alignment horizontal="right" wrapText="1"/>
    </xf>
    <xf numFmtId="0" fontId="2" fillId="5" borderId="45" xfId="0" applyFont="1" applyFill="1" applyBorder="1"/>
    <xf numFmtId="164" fontId="2" fillId="5" borderId="28" xfId="0" applyNumberFormat="1" applyFont="1" applyFill="1" applyBorder="1"/>
    <xf numFmtId="164" fontId="2" fillId="5" borderId="29" xfId="0" applyNumberFormat="1" applyFont="1" applyFill="1" applyBorder="1"/>
    <xf numFmtId="0" fontId="6" fillId="0" borderId="46" xfId="0" applyFont="1" applyBorder="1" applyAlignment="1">
      <alignment wrapText="1"/>
    </xf>
    <xf numFmtId="3" fontId="6" fillId="0" borderId="46" xfId="0" applyNumberFormat="1" applyFont="1" applyBorder="1" applyAlignment="1">
      <alignment horizontal="right" wrapText="1"/>
    </xf>
    <xf numFmtId="0" fontId="6" fillId="0" borderId="0" xfId="0" applyFont="1" applyAlignment="1">
      <alignment wrapText="1"/>
    </xf>
    <xf numFmtId="164" fontId="10" fillId="0" borderId="21" xfId="0" applyNumberFormat="1" applyFont="1" applyBorder="1" applyAlignment="1">
      <alignment horizontal="right"/>
    </xf>
    <xf numFmtId="164" fontId="11" fillId="0" borderId="21" xfId="0" applyNumberFormat="1" applyFont="1" applyBorder="1" applyAlignment="1">
      <alignment horizontal="right" vertical="center"/>
    </xf>
    <xf numFmtId="164" fontId="11" fillId="0" borderId="21" xfId="0" applyNumberFormat="1" applyFont="1" applyBorder="1" applyAlignment="1">
      <alignment horizontal="right"/>
    </xf>
    <xf numFmtId="164" fontId="2" fillId="5" borderId="16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3" fontId="10" fillId="0" borderId="21" xfId="0" applyNumberFormat="1" applyFont="1" applyBorder="1" applyAlignment="1">
      <alignment horizontal="right"/>
    </xf>
    <xf numFmtId="3" fontId="12" fillId="0" borderId="21" xfId="0" applyNumberFormat="1" applyFont="1" applyBorder="1" applyAlignment="1">
      <alignment horizontal="right" vertical="center"/>
    </xf>
    <xf numFmtId="3" fontId="6" fillId="0" borderId="21" xfId="0" applyNumberFormat="1" applyFont="1" applyBorder="1" applyAlignment="1">
      <alignment horizontal="right"/>
    </xf>
    <xf numFmtId="42" fontId="2" fillId="5" borderId="21" xfId="0" applyNumberFormat="1" applyFont="1" applyFill="1" applyBorder="1" applyAlignment="1">
      <alignment horizontal="right"/>
    </xf>
    <xf numFmtId="0" fontId="2" fillId="0" borderId="0" xfId="0" applyFont="1"/>
    <xf numFmtId="3" fontId="6" fillId="0" borderId="0" xfId="0" applyNumberFormat="1" applyFont="1"/>
    <xf numFmtId="0" fontId="6" fillId="0" borderId="0" xfId="0" applyFont="1"/>
    <xf numFmtId="0" fontId="13" fillId="4" borderId="51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2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6" fillId="0" borderId="7" xfId="0" applyFont="1" applyBorder="1"/>
    <xf numFmtId="0" fontId="2" fillId="0" borderId="18" xfId="0" applyFont="1" applyBorder="1" applyAlignment="1">
      <alignment horizontal="center"/>
    </xf>
    <xf numFmtId="0" fontId="3" fillId="0" borderId="31" xfId="0" applyFont="1" applyBorder="1"/>
    <xf numFmtId="0" fontId="3" fillId="0" borderId="32" xfId="0" applyFont="1" applyBorder="1"/>
    <xf numFmtId="0" fontId="2" fillId="0" borderId="25" xfId="0" applyFont="1" applyBorder="1" applyAlignment="1">
      <alignment horizontal="center" vertical="center"/>
    </xf>
    <xf numFmtId="0" fontId="3" fillId="0" borderId="47" xfId="0" applyFont="1" applyBorder="1"/>
    <xf numFmtId="0" fontId="3" fillId="0" borderId="15" xfId="0" applyFont="1" applyBorder="1"/>
    <xf numFmtId="0" fontId="6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2" fillId="5" borderId="48" xfId="0" applyFont="1" applyFill="1" applyBorder="1" applyAlignment="1">
      <alignment horizontal="left"/>
    </xf>
    <xf numFmtId="0" fontId="3" fillId="0" borderId="49" xfId="0" applyFont="1" applyBorder="1"/>
    <xf numFmtId="0" fontId="3" fillId="0" borderId="5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8"/>
  <sheetViews>
    <sheetView tabSelected="1" workbookViewId="0">
      <selection activeCell="L33" sqref="L33"/>
    </sheetView>
  </sheetViews>
  <sheetFormatPr baseColWidth="10" defaultColWidth="14.42578125" defaultRowHeight="15" customHeight="1"/>
  <cols>
    <col min="1" max="1" width="10.7109375" customWidth="1"/>
    <col min="2" max="2" width="21.42578125" customWidth="1"/>
    <col min="3" max="3" width="14.28515625" customWidth="1"/>
    <col min="4" max="4" width="17.5703125" customWidth="1"/>
    <col min="5" max="5" width="20.140625" customWidth="1"/>
    <col min="6" max="6" width="12.85546875" customWidth="1"/>
    <col min="7" max="7" width="14.28515625" customWidth="1"/>
    <col min="9" max="9" width="14.28515625" customWidth="1"/>
    <col min="10" max="10" width="13.7109375" customWidth="1"/>
    <col min="11" max="11" width="12.140625" customWidth="1"/>
    <col min="12" max="12" width="24.140625" customWidth="1"/>
    <col min="13" max="13" width="12.42578125" customWidth="1"/>
    <col min="14" max="14" width="4.85546875" customWidth="1"/>
    <col min="15" max="16" width="10.7109375" customWidth="1"/>
    <col min="17" max="17" width="32.5703125" customWidth="1"/>
    <col min="18" max="18" width="19" customWidth="1"/>
    <col min="19" max="19" width="17.140625" customWidth="1"/>
    <col min="20" max="20" width="11.5703125" customWidth="1"/>
    <col min="21" max="21" width="6" customWidth="1"/>
    <col min="22" max="26" width="10.7109375" customWidth="1"/>
  </cols>
  <sheetData>
    <row r="1" spans="2:21" ht="15" customHeight="1">
      <c r="B1" s="83" t="s">
        <v>0</v>
      </c>
      <c r="C1" s="84"/>
      <c r="D1" s="84"/>
      <c r="E1" s="84"/>
      <c r="F1" s="84"/>
      <c r="G1" s="84"/>
      <c r="H1" s="84"/>
      <c r="I1" s="84"/>
      <c r="J1" s="84"/>
    </row>
    <row r="2" spans="2:21" ht="15" customHeight="1">
      <c r="B2" s="83" t="s">
        <v>1</v>
      </c>
      <c r="C2" s="84"/>
      <c r="D2" s="84"/>
      <c r="E2" s="84"/>
      <c r="F2" s="84"/>
      <c r="G2" s="84"/>
      <c r="H2" s="84"/>
      <c r="I2" s="84"/>
      <c r="J2" s="84"/>
    </row>
    <row r="3" spans="2:21" ht="15" customHeight="1">
      <c r="B3" s="1"/>
      <c r="C3" s="1"/>
      <c r="D3" s="1"/>
      <c r="E3" s="1"/>
      <c r="F3" s="1"/>
      <c r="G3" s="1"/>
      <c r="H3" s="1"/>
      <c r="I3" s="1"/>
    </row>
    <row r="4" spans="2:21" ht="15" customHeight="1">
      <c r="B4" s="85" t="s">
        <v>2</v>
      </c>
      <c r="C4" s="84"/>
      <c r="D4" s="84"/>
      <c r="E4" s="84"/>
      <c r="F4" s="84"/>
      <c r="G4" s="84"/>
    </row>
    <row r="5" spans="2:21">
      <c r="C5" s="86" t="s">
        <v>3</v>
      </c>
      <c r="D5" s="87"/>
      <c r="E5" s="88"/>
      <c r="F5" s="2"/>
      <c r="G5" s="2"/>
      <c r="I5" s="89" t="s">
        <v>4</v>
      </c>
      <c r="J5" s="90"/>
      <c r="L5" s="89" t="s">
        <v>5</v>
      </c>
      <c r="M5" s="91"/>
      <c r="N5" s="2"/>
      <c r="Q5" s="92" t="s">
        <v>6</v>
      </c>
      <c r="R5" s="93"/>
      <c r="S5" s="93"/>
      <c r="T5" s="93"/>
      <c r="U5" s="94"/>
    </row>
    <row r="6" spans="2:21" ht="15.75">
      <c r="C6" s="3" t="s">
        <v>7</v>
      </c>
      <c r="D6" s="4" t="s">
        <v>8</v>
      </c>
      <c r="E6" s="5" t="s">
        <v>9</v>
      </c>
      <c r="F6" s="6"/>
      <c r="G6" s="6"/>
      <c r="I6" s="7" t="s">
        <v>10</v>
      </c>
      <c r="J6" s="8">
        <f>G21</f>
        <v>27835000</v>
      </c>
      <c r="K6" s="9"/>
      <c r="L6" s="10" t="s">
        <v>11</v>
      </c>
      <c r="M6" s="11">
        <f>(J13*-1)+(-M21)</f>
        <v>-13000000</v>
      </c>
      <c r="Q6" s="12" t="s">
        <v>12</v>
      </c>
      <c r="R6" s="13" t="s">
        <v>13</v>
      </c>
      <c r="S6" s="13" t="s">
        <v>14</v>
      </c>
      <c r="T6" s="14" t="s">
        <v>15</v>
      </c>
      <c r="U6" s="13" t="s">
        <v>16</v>
      </c>
    </row>
    <row r="7" spans="2:21">
      <c r="B7" s="15" t="s">
        <v>17</v>
      </c>
      <c r="C7" s="16">
        <v>7000000</v>
      </c>
      <c r="D7" s="16">
        <v>10000000</v>
      </c>
      <c r="E7" s="16">
        <v>5000000</v>
      </c>
      <c r="F7" s="17"/>
      <c r="G7" s="17"/>
      <c r="I7" s="18" t="s">
        <v>18</v>
      </c>
      <c r="J7" s="19">
        <v>0.7</v>
      </c>
      <c r="K7" s="9"/>
      <c r="L7" s="20" t="s">
        <v>19</v>
      </c>
      <c r="M7" s="21">
        <f>+C23</f>
        <v>7605000</v>
      </c>
      <c r="Q7" s="22" t="s">
        <v>95</v>
      </c>
      <c r="R7" s="22" t="s">
        <v>20</v>
      </c>
      <c r="S7" s="23">
        <v>1000000</v>
      </c>
      <c r="T7" s="23">
        <v>0</v>
      </c>
      <c r="U7" s="22" t="s">
        <v>16</v>
      </c>
    </row>
    <row r="8" spans="2:21">
      <c r="B8" s="24" t="s">
        <v>21</v>
      </c>
      <c r="C8" s="25">
        <v>0</v>
      </c>
      <c r="D8" s="25">
        <f t="shared" ref="D8:E8" si="0">C23</f>
        <v>7605000</v>
      </c>
      <c r="E8" s="26">
        <f t="shared" si="0"/>
        <v>10385000</v>
      </c>
      <c r="F8" s="17"/>
      <c r="G8" s="17"/>
      <c r="I8" s="27" t="s">
        <v>22</v>
      </c>
      <c r="J8" s="28">
        <f>+J6*(1+J7)</f>
        <v>47319500</v>
      </c>
      <c r="K8" s="9"/>
      <c r="L8" s="20" t="s">
        <v>23</v>
      </c>
      <c r="M8" s="21">
        <f>+D23</f>
        <v>10385000</v>
      </c>
      <c r="Q8" s="22" t="s">
        <v>94</v>
      </c>
      <c r="R8" s="22" t="s">
        <v>20</v>
      </c>
      <c r="S8" s="23">
        <v>800000</v>
      </c>
      <c r="T8" s="23">
        <v>0</v>
      </c>
      <c r="U8" s="22" t="s">
        <v>16</v>
      </c>
    </row>
    <row r="9" spans="2:21">
      <c r="B9" s="24" t="s">
        <v>24</v>
      </c>
      <c r="C9" s="25">
        <v>9000000</v>
      </c>
      <c r="D9" s="25">
        <v>0</v>
      </c>
      <c r="E9" s="26">
        <v>0</v>
      </c>
      <c r="F9" s="17"/>
      <c r="G9" s="17"/>
      <c r="I9" s="18" t="s">
        <v>18</v>
      </c>
      <c r="J9" s="29">
        <f>+J8-J6</f>
        <v>19484500</v>
      </c>
      <c r="K9" s="9"/>
      <c r="L9" s="20" t="s">
        <v>25</v>
      </c>
      <c r="M9" s="21">
        <f>+E23</f>
        <v>8165000</v>
      </c>
      <c r="Q9" s="22" t="s">
        <v>96</v>
      </c>
      <c r="R9" s="22" t="s">
        <v>20</v>
      </c>
      <c r="S9" s="23">
        <v>800000</v>
      </c>
      <c r="T9" s="23">
        <v>0</v>
      </c>
      <c r="U9" s="22" t="s">
        <v>16</v>
      </c>
    </row>
    <row r="10" spans="2:21">
      <c r="B10" s="30" t="s">
        <v>26</v>
      </c>
      <c r="C10" s="25">
        <f>SUM(M21,M22,M23)</f>
        <v>4000000</v>
      </c>
      <c r="D10" s="25">
        <v>0</v>
      </c>
      <c r="E10" s="26">
        <v>0</v>
      </c>
      <c r="F10" s="17"/>
      <c r="G10" s="17"/>
      <c r="I10" s="18"/>
      <c r="J10" s="29"/>
      <c r="K10" s="9"/>
      <c r="L10" s="20"/>
      <c r="M10" s="21"/>
      <c r="Q10" s="22" t="s">
        <v>97</v>
      </c>
      <c r="R10" s="22" t="s">
        <v>20</v>
      </c>
      <c r="S10" s="23">
        <v>800000</v>
      </c>
      <c r="T10" s="23">
        <v>0</v>
      </c>
      <c r="U10" s="22" t="s">
        <v>16</v>
      </c>
    </row>
    <row r="11" spans="2:21">
      <c r="B11" s="32" t="s">
        <v>27</v>
      </c>
      <c r="C11" s="33">
        <v>1000000</v>
      </c>
      <c r="D11" s="33"/>
      <c r="E11" s="34">
        <v>0</v>
      </c>
      <c r="F11" s="17"/>
      <c r="G11" s="17"/>
      <c r="I11" s="18"/>
      <c r="J11" s="29"/>
      <c r="K11" s="9"/>
      <c r="L11" s="20"/>
      <c r="M11" s="21"/>
      <c r="Q11" s="31"/>
      <c r="R11" s="31"/>
      <c r="S11" s="31"/>
      <c r="T11" s="31"/>
      <c r="U11" s="31"/>
    </row>
    <row r="12" spans="2:21">
      <c r="B12" s="32" t="s">
        <v>28</v>
      </c>
      <c r="C12" s="33">
        <f>SUM(C7:C11)</f>
        <v>21000000</v>
      </c>
      <c r="D12" s="33">
        <f>SUM(D7,D9:D11)</f>
        <v>10000000</v>
      </c>
      <c r="E12" s="34">
        <f>SUM(E7,E9:E11)</f>
        <v>5000000</v>
      </c>
      <c r="G12" s="35" t="s">
        <v>2</v>
      </c>
      <c r="I12" s="18"/>
      <c r="J12" s="29"/>
      <c r="K12" s="9"/>
      <c r="L12" s="20"/>
      <c r="M12" s="21"/>
      <c r="Q12" s="31"/>
      <c r="R12" s="22" t="s">
        <v>29</v>
      </c>
      <c r="S12" s="36">
        <f>SUM(S7:S10)</f>
        <v>3400000</v>
      </c>
      <c r="T12" s="37"/>
      <c r="U12" s="31"/>
    </row>
    <row r="13" spans="2:21">
      <c r="B13" s="38" t="s">
        <v>30</v>
      </c>
      <c r="C13" s="39">
        <f>+C12</f>
        <v>21000000</v>
      </c>
      <c r="D13" s="39">
        <f>SUM(D7:D11)</f>
        <v>17605000</v>
      </c>
      <c r="E13" s="40">
        <f>SUM(E7:E11)</f>
        <v>15385000</v>
      </c>
      <c r="G13" s="17">
        <f>SUM(C12:E12)</f>
        <v>36000000</v>
      </c>
      <c r="I13" s="41" t="s">
        <v>31</v>
      </c>
      <c r="J13" s="42">
        <f>C9</f>
        <v>9000000</v>
      </c>
      <c r="K13" s="9"/>
      <c r="L13" s="20"/>
      <c r="M13" s="20"/>
      <c r="Q13" s="31"/>
      <c r="R13" s="22" t="s">
        <v>32</v>
      </c>
      <c r="S13" s="36">
        <f>8*T7</f>
        <v>0</v>
      </c>
      <c r="T13" s="31"/>
      <c r="U13" s="31"/>
    </row>
    <row r="14" spans="2:21">
      <c r="C14" s="9"/>
      <c r="D14" s="9"/>
      <c r="E14" s="9"/>
      <c r="I14" s="43" t="s">
        <v>33</v>
      </c>
      <c r="J14" s="29">
        <v>6</v>
      </c>
      <c r="K14" s="9"/>
      <c r="L14" s="20" t="s">
        <v>34</v>
      </c>
      <c r="M14" s="44">
        <v>17</v>
      </c>
      <c r="N14" s="45">
        <f>+M14/100</f>
        <v>0.17</v>
      </c>
      <c r="Q14" s="46"/>
      <c r="R14" s="22" t="s">
        <v>35</v>
      </c>
      <c r="S14" s="23">
        <f>S12*12</f>
        <v>40800000</v>
      </c>
      <c r="T14" s="31"/>
      <c r="U14" s="31"/>
    </row>
    <row r="15" spans="2:21">
      <c r="B15" s="96" t="s">
        <v>36</v>
      </c>
      <c r="C15" s="97"/>
      <c r="D15" s="97"/>
      <c r="E15" s="98"/>
      <c r="I15" s="43" t="s">
        <v>37</v>
      </c>
      <c r="J15" s="19">
        <f>M14/J14</f>
        <v>2.8333333333333335</v>
      </c>
      <c r="K15" s="47"/>
      <c r="L15" s="20" t="s">
        <v>38</v>
      </c>
      <c r="M15" s="48">
        <f t="array" ref="M15">NPV(N14,C23,D23,E23)-J13</f>
        <v>10184368.820682652</v>
      </c>
      <c r="Q15" s="31"/>
      <c r="R15" s="31"/>
      <c r="S15" s="31"/>
      <c r="T15" s="31"/>
      <c r="U15" s="31"/>
    </row>
    <row r="16" spans="2:21">
      <c r="B16" s="49" t="s">
        <v>39</v>
      </c>
      <c r="C16" s="25">
        <v>120000</v>
      </c>
      <c r="D16" s="25">
        <v>120000</v>
      </c>
      <c r="E16" s="25">
        <v>120000</v>
      </c>
      <c r="I16" s="43" t="s">
        <v>40</v>
      </c>
      <c r="J16" s="29">
        <f>(J13/J14)*J15</f>
        <v>4250000</v>
      </c>
      <c r="K16" s="9"/>
      <c r="L16" s="20" t="s">
        <v>41</v>
      </c>
      <c r="M16" s="50">
        <f>IRR(M6:M9)</f>
        <v>0.44146618324655185</v>
      </c>
      <c r="Q16" s="92" t="s">
        <v>42</v>
      </c>
      <c r="R16" s="93"/>
      <c r="S16" s="93"/>
      <c r="T16" s="93"/>
      <c r="U16" s="94"/>
    </row>
    <row r="17" spans="2:21">
      <c r="B17" s="49" t="s">
        <v>43</v>
      </c>
      <c r="C17" s="25">
        <f>S12*2</f>
        <v>6800000</v>
      </c>
      <c r="D17" s="25">
        <f>S12*2</f>
        <v>6800000</v>
      </c>
      <c r="E17" s="25">
        <f>S12*2</f>
        <v>6800000</v>
      </c>
      <c r="I17" s="51" t="s">
        <v>44</v>
      </c>
      <c r="J17" s="52">
        <f>+J16*J14</f>
        <v>25500000</v>
      </c>
      <c r="K17" s="9"/>
      <c r="Q17" s="12" t="s">
        <v>12</v>
      </c>
      <c r="R17" s="13" t="s">
        <v>13</v>
      </c>
      <c r="S17" s="13" t="s">
        <v>14</v>
      </c>
      <c r="T17" s="14" t="s">
        <v>15</v>
      </c>
      <c r="U17" s="13" t="s">
        <v>16</v>
      </c>
    </row>
    <row r="18" spans="2:21">
      <c r="B18" s="49" t="s">
        <v>45</v>
      </c>
      <c r="C18" s="25">
        <v>0</v>
      </c>
      <c r="D18" s="25">
        <v>0</v>
      </c>
      <c r="E18" s="26">
        <v>0</v>
      </c>
      <c r="Q18" s="22"/>
      <c r="R18" s="22"/>
      <c r="S18" s="36"/>
      <c r="T18" s="23"/>
      <c r="U18" s="22"/>
    </row>
    <row r="19" spans="2:21">
      <c r="B19" s="49" t="s">
        <v>46</v>
      </c>
      <c r="C19" s="25">
        <f>J16</f>
        <v>4250000</v>
      </c>
      <c r="D19" s="25">
        <v>0</v>
      </c>
      <c r="E19" s="26">
        <v>0</v>
      </c>
      <c r="L19" s="89" t="s">
        <v>47</v>
      </c>
      <c r="M19" s="90"/>
      <c r="Q19" s="31"/>
      <c r="R19" s="31"/>
      <c r="S19" s="31"/>
      <c r="T19" s="31"/>
      <c r="U19" s="31"/>
    </row>
    <row r="20" spans="2:21">
      <c r="B20" s="49" t="s">
        <v>48</v>
      </c>
      <c r="C20" s="25">
        <f>G35</f>
        <v>2225000</v>
      </c>
      <c r="D20" s="25">
        <f>G46*2</f>
        <v>300000</v>
      </c>
      <c r="E20" s="26">
        <f>G46*2</f>
        <v>300000</v>
      </c>
      <c r="G20" s="35" t="s">
        <v>49</v>
      </c>
      <c r="K20" s="9"/>
      <c r="L20" s="53" t="s">
        <v>50</v>
      </c>
      <c r="M20" s="54" t="s">
        <v>51</v>
      </c>
      <c r="Q20" s="31"/>
      <c r="R20" s="22" t="s">
        <v>52</v>
      </c>
      <c r="S20" s="23">
        <f>S18*12</f>
        <v>0</v>
      </c>
      <c r="T20" s="31"/>
      <c r="U20" s="31"/>
    </row>
    <row r="21" spans="2:21">
      <c r="B21" s="55" t="s">
        <v>53</v>
      </c>
      <c r="C21" s="56">
        <f t="shared" ref="C21:E21" si="1">SUM(C16:C20)</f>
        <v>13395000</v>
      </c>
      <c r="D21" s="56">
        <f t="shared" si="1"/>
        <v>7220000</v>
      </c>
      <c r="E21" s="57">
        <f t="shared" si="1"/>
        <v>7220000</v>
      </c>
      <c r="G21" s="17">
        <f>SUM(C21:E21)</f>
        <v>27835000</v>
      </c>
      <c r="K21" s="45"/>
      <c r="L21" s="58" t="s">
        <v>93</v>
      </c>
      <c r="M21" s="59">
        <v>4000000</v>
      </c>
    </row>
    <row r="22" spans="2:21">
      <c r="C22" s="9"/>
      <c r="D22" s="9"/>
      <c r="E22" s="9"/>
      <c r="G22" s="35" t="s">
        <v>54</v>
      </c>
      <c r="I22" s="60">
        <v>1200000</v>
      </c>
      <c r="J22" s="60">
        <v>800000</v>
      </c>
      <c r="L22" s="61"/>
      <c r="M22" s="62"/>
    </row>
    <row r="23" spans="2:21">
      <c r="B23" s="63" t="s">
        <v>55</v>
      </c>
      <c r="C23" s="64">
        <f t="shared" ref="C23:E23" si="2">+C13-C21</f>
        <v>7605000</v>
      </c>
      <c r="D23" s="64">
        <f t="shared" si="2"/>
        <v>10385000</v>
      </c>
      <c r="E23" s="65">
        <f t="shared" si="2"/>
        <v>8165000</v>
      </c>
      <c r="G23" s="17">
        <f>+G13-G21</f>
        <v>8165000</v>
      </c>
      <c r="L23" s="66"/>
      <c r="M23" s="67"/>
    </row>
    <row r="24" spans="2:21" ht="15.75" customHeight="1">
      <c r="L24" s="68"/>
      <c r="M24" s="68"/>
    </row>
    <row r="25" spans="2:21" ht="15.75" customHeight="1">
      <c r="B25" s="99" t="s">
        <v>48</v>
      </c>
      <c r="C25" s="102" t="s">
        <v>56</v>
      </c>
      <c r="D25" s="93"/>
      <c r="E25" s="93"/>
      <c r="F25" s="94"/>
      <c r="G25" s="69">
        <v>0</v>
      </c>
      <c r="L25" s="68"/>
      <c r="M25" s="68"/>
    </row>
    <row r="26" spans="2:21" ht="15.75" customHeight="1">
      <c r="B26" s="100"/>
      <c r="C26" s="102" t="s">
        <v>57</v>
      </c>
      <c r="D26" s="93"/>
      <c r="E26" s="93"/>
      <c r="F26" s="94"/>
      <c r="G26" s="69">
        <v>0</v>
      </c>
      <c r="L26" s="68"/>
      <c r="M26" s="68"/>
    </row>
    <row r="27" spans="2:21" ht="15.75" customHeight="1">
      <c r="B27" s="100"/>
      <c r="C27" s="102" t="s">
        <v>58</v>
      </c>
      <c r="D27" s="93"/>
      <c r="E27" s="93"/>
      <c r="F27" s="94"/>
      <c r="G27" s="69">
        <v>0</v>
      </c>
      <c r="L27" s="68"/>
      <c r="M27" s="68"/>
    </row>
    <row r="28" spans="2:21" ht="15.75" customHeight="1">
      <c r="B28" s="100"/>
      <c r="C28" s="95" t="s">
        <v>59</v>
      </c>
      <c r="D28" s="93"/>
      <c r="E28" s="93"/>
      <c r="F28" s="94"/>
      <c r="G28" s="69">
        <v>0</v>
      </c>
      <c r="L28" s="68"/>
      <c r="M28" s="68"/>
    </row>
    <row r="29" spans="2:21" ht="15.75" customHeight="1">
      <c r="B29" s="100"/>
      <c r="C29" s="95" t="s">
        <v>60</v>
      </c>
      <c r="D29" s="93"/>
      <c r="E29" s="93"/>
      <c r="F29" s="94"/>
      <c r="G29" s="70">
        <v>200000</v>
      </c>
      <c r="L29" s="68"/>
      <c r="M29" s="68"/>
    </row>
    <row r="30" spans="2:21" ht="15.75" customHeight="1">
      <c r="B30" s="100"/>
      <c r="C30" s="95" t="s">
        <v>61</v>
      </c>
      <c r="D30" s="93"/>
      <c r="E30" s="93"/>
      <c r="F30" s="94"/>
      <c r="G30" s="71">
        <v>50000</v>
      </c>
      <c r="L30" s="68"/>
      <c r="M30" s="68"/>
    </row>
    <row r="31" spans="2:21" ht="15.75" customHeight="1">
      <c r="B31" s="100"/>
      <c r="C31" s="95" t="s">
        <v>62</v>
      </c>
      <c r="D31" s="93"/>
      <c r="E31" s="93"/>
      <c r="F31" s="94"/>
      <c r="G31" s="70">
        <v>0</v>
      </c>
      <c r="L31" s="68"/>
      <c r="M31" s="68"/>
    </row>
    <row r="32" spans="2:21" ht="15.75" customHeight="1">
      <c r="B32" s="100"/>
      <c r="C32" s="95" t="s">
        <v>63</v>
      </c>
      <c r="D32" s="93"/>
      <c r="E32" s="93"/>
      <c r="F32" s="94"/>
      <c r="G32" s="71">
        <v>775000</v>
      </c>
      <c r="L32" s="68"/>
      <c r="M32" s="68"/>
    </row>
    <row r="33" spans="2:13" ht="15.75" customHeight="1">
      <c r="B33" s="100"/>
      <c r="C33" s="95" t="s">
        <v>64</v>
      </c>
      <c r="D33" s="93"/>
      <c r="E33" s="93"/>
      <c r="F33" s="94"/>
      <c r="G33" s="71">
        <v>1200000</v>
      </c>
      <c r="L33" s="68"/>
      <c r="M33" s="68"/>
    </row>
    <row r="34" spans="2:13" ht="15.75" customHeight="1">
      <c r="B34" s="101"/>
      <c r="C34" s="103" t="s">
        <v>65</v>
      </c>
      <c r="D34" s="93"/>
      <c r="E34" s="93"/>
      <c r="F34" s="94"/>
      <c r="G34" s="71">
        <v>0</v>
      </c>
      <c r="L34" s="68"/>
      <c r="M34" s="68"/>
    </row>
    <row r="35" spans="2:13" ht="15.75" customHeight="1">
      <c r="C35" s="106" t="s">
        <v>66</v>
      </c>
      <c r="D35" s="107"/>
      <c r="E35" s="107"/>
      <c r="F35" s="108"/>
      <c r="G35" s="72">
        <f>SUM(G25:G34)</f>
        <v>2225000</v>
      </c>
      <c r="L35" s="68"/>
      <c r="M35" s="68"/>
    </row>
    <row r="36" spans="2:13" ht="15.75" customHeight="1">
      <c r="C36" s="73"/>
      <c r="D36" s="73"/>
      <c r="E36" s="73"/>
      <c r="F36" s="73"/>
      <c r="G36" s="74"/>
      <c r="L36" s="68"/>
      <c r="M36" s="68"/>
    </row>
    <row r="37" spans="2:13" ht="15.75" customHeight="1">
      <c r="C37" s="73"/>
      <c r="D37" s="73"/>
      <c r="E37" s="73"/>
      <c r="F37" s="73"/>
      <c r="G37" s="74"/>
      <c r="L37" s="68"/>
      <c r="M37" s="68"/>
    </row>
    <row r="38" spans="2:13" ht="15.75" customHeight="1">
      <c r="C38" s="73"/>
      <c r="D38" s="73"/>
      <c r="E38" s="73"/>
      <c r="F38" s="73"/>
      <c r="G38" s="74"/>
      <c r="L38" s="68"/>
      <c r="M38" s="68"/>
    </row>
    <row r="39" spans="2:13" ht="15.75" customHeight="1">
      <c r="B39" s="99" t="s">
        <v>67</v>
      </c>
      <c r="C39" s="102" t="s">
        <v>68</v>
      </c>
      <c r="D39" s="93"/>
      <c r="E39" s="93"/>
      <c r="F39" s="94"/>
      <c r="G39" s="75">
        <v>30000</v>
      </c>
      <c r="L39" s="68"/>
      <c r="M39" s="68"/>
    </row>
    <row r="40" spans="2:13" ht="15.75" customHeight="1">
      <c r="B40" s="100"/>
      <c r="C40" s="95" t="s">
        <v>69</v>
      </c>
      <c r="D40" s="93"/>
      <c r="E40" s="93"/>
      <c r="F40" s="94"/>
      <c r="G40" s="75">
        <v>60000</v>
      </c>
      <c r="L40" s="68"/>
      <c r="M40" s="68"/>
    </row>
    <row r="41" spans="2:13" ht="15.75" customHeight="1">
      <c r="B41" s="100"/>
      <c r="C41" s="95" t="s">
        <v>60</v>
      </c>
      <c r="D41" s="93"/>
      <c r="E41" s="93"/>
      <c r="F41" s="94"/>
      <c r="G41" s="76">
        <v>0</v>
      </c>
    </row>
    <row r="42" spans="2:13" ht="15.75" customHeight="1">
      <c r="B42" s="100"/>
      <c r="C42" s="95" t="s">
        <v>61</v>
      </c>
      <c r="D42" s="93"/>
      <c r="E42" s="93"/>
      <c r="F42" s="94"/>
      <c r="G42" s="77">
        <v>60000</v>
      </c>
    </row>
    <row r="43" spans="2:13" ht="15.75" customHeight="1">
      <c r="B43" s="100"/>
      <c r="C43" s="95" t="s">
        <v>62</v>
      </c>
      <c r="D43" s="93"/>
      <c r="E43" s="93"/>
      <c r="F43" s="94"/>
      <c r="G43" s="76">
        <v>0</v>
      </c>
    </row>
    <row r="44" spans="2:13" ht="15.75" customHeight="1">
      <c r="B44" s="100"/>
      <c r="C44" s="95" t="s">
        <v>63</v>
      </c>
      <c r="D44" s="93"/>
      <c r="E44" s="93"/>
      <c r="F44" s="94"/>
      <c r="G44" s="77">
        <v>0</v>
      </c>
    </row>
    <row r="45" spans="2:13" ht="15.75" customHeight="1">
      <c r="B45" s="101"/>
      <c r="C45" s="95" t="s">
        <v>64</v>
      </c>
      <c r="D45" s="93"/>
      <c r="E45" s="93"/>
      <c r="F45" s="94"/>
      <c r="G45" s="77">
        <v>0</v>
      </c>
    </row>
    <row r="46" spans="2:13" ht="15.75" customHeight="1">
      <c r="C46" s="104" t="s">
        <v>66</v>
      </c>
      <c r="D46" s="93"/>
      <c r="E46" s="93"/>
      <c r="F46" s="94"/>
      <c r="G46" s="78">
        <f>SUM(G39:G45)</f>
        <v>150000</v>
      </c>
    </row>
    <row r="47" spans="2:13" ht="15.75" customHeight="1"/>
    <row r="48" spans="2:13" ht="15.75" customHeight="1">
      <c r="B48" s="79" t="s">
        <v>70</v>
      </c>
      <c r="C48" s="105" t="s">
        <v>71</v>
      </c>
      <c r="D48" s="84"/>
      <c r="E48" s="84"/>
      <c r="F48" s="84"/>
    </row>
    <row r="49" spans="2:6" ht="15.75" customHeight="1">
      <c r="B49" s="79" t="s">
        <v>72</v>
      </c>
      <c r="C49" s="105" t="s">
        <v>73</v>
      </c>
      <c r="D49" s="84"/>
      <c r="E49" s="84"/>
      <c r="F49" s="84"/>
    </row>
    <row r="50" spans="2:6" ht="15.75" customHeight="1">
      <c r="C50" s="80"/>
    </row>
    <row r="51" spans="2:6" ht="15.75" customHeight="1"/>
    <row r="52" spans="2:6" ht="15.75" customHeight="1"/>
    <row r="53" spans="2:6" ht="15.75" customHeight="1"/>
    <row r="54" spans="2:6" ht="15.75" customHeight="1"/>
    <row r="55" spans="2:6" ht="15.75" customHeight="1"/>
    <row r="56" spans="2:6" ht="15.75" customHeight="1"/>
    <row r="57" spans="2:6" ht="15.75" customHeight="1"/>
    <row r="58" spans="2:6" ht="15.75" customHeight="1"/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3">
    <mergeCell ref="B39:B45"/>
    <mergeCell ref="C39:F39"/>
    <mergeCell ref="C40:F40"/>
    <mergeCell ref="C41:F41"/>
    <mergeCell ref="C48:F48"/>
    <mergeCell ref="C49:F49"/>
    <mergeCell ref="C32:F32"/>
    <mergeCell ref="C33:F33"/>
    <mergeCell ref="C35:F35"/>
    <mergeCell ref="C42:F42"/>
    <mergeCell ref="C43:F43"/>
    <mergeCell ref="C44:F44"/>
    <mergeCell ref="C45:F45"/>
    <mergeCell ref="C46:F46"/>
    <mergeCell ref="C31:F31"/>
    <mergeCell ref="B15:E15"/>
    <mergeCell ref="Q16:U16"/>
    <mergeCell ref="L19:M19"/>
    <mergeCell ref="B25:B34"/>
    <mergeCell ref="C25:F25"/>
    <mergeCell ref="C26:F26"/>
    <mergeCell ref="C27:F27"/>
    <mergeCell ref="C34:F34"/>
    <mergeCell ref="L5:M5"/>
    <mergeCell ref="Q5:U5"/>
    <mergeCell ref="C28:F28"/>
    <mergeCell ref="C29:F29"/>
    <mergeCell ref="C30:F30"/>
    <mergeCell ref="B1:J1"/>
    <mergeCell ref="B2:J2"/>
    <mergeCell ref="B4:G4"/>
    <mergeCell ref="C5:E5"/>
    <mergeCell ref="I5:J5"/>
  </mergeCells>
  <phoneticPr fontId="14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:W1000"/>
  <sheetViews>
    <sheetView workbookViewId="0"/>
  </sheetViews>
  <sheetFormatPr baseColWidth="10" defaultColWidth="14.42578125" defaultRowHeight="15" customHeight="1"/>
  <cols>
    <col min="1" max="22" width="10.7109375" customWidth="1"/>
    <col min="23" max="23" width="12" customWidth="1"/>
    <col min="24" max="26" width="10.7109375" customWidth="1"/>
  </cols>
  <sheetData>
    <row r="3" spans="5:23">
      <c r="K3" s="81" t="s">
        <v>74</v>
      </c>
      <c r="L3" s="81" t="s">
        <v>75</v>
      </c>
      <c r="M3" s="81" t="s">
        <v>76</v>
      </c>
      <c r="N3" s="81" t="s">
        <v>77</v>
      </c>
      <c r="O3" s="81" t="s">
        <v>78</v>
      </c>
      <c r="P3" s="81" t="s">
        <v>79</v>
      </c>
      <c r="Q3" s="81" t="s">
        <v>80</v>
      </c>
      <c r="R3" s="81" t="s">
        <v>81</v>
      </c>
      <c r="S3" s="81" t="s">
        <v>82</v>
      </c>
      <c r="T3" s="81" t="s">
        <v>83</v>
      </c>
      <c r="U3" s="81" t="s">
        <v>84</v>
      </c>
      <c r="V3" s="81" t="s">
        <v>85</v>
      </c>
    </row>
    <row r="4" spans="5:23">
      <c r="E4" s="82" t="s">
        <v>86</v>
      </c>
      <c r="F4" s="81" t="s">
        <v>87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5:23">
      <c r="I5" s="81" t="s">
        <v>88</v>
      </c>
      <c r="J5" s="9">
        <v>50000</v>
      </c>
      <c r="K5" s="9">
        <f t="shared" ref="K5:V5" si="0">+$J$5*K6</f>
        <v>100000</v>
      </c>
      <c r="L5" s="9">
        <f t="shared" si="0"/>
        <v>150000</v>
      </c>
      <c r="M5" s="9">
        <f t="shared" si="0"/>
        <v>200000</v>
      </c>
      <c r="N5" s="9">
        <f t="shared" si="0"/>
        <v>150000</v>
      </c>
      <c r="O5" s="9">
        <f t="shared" si="0"/>
        <v>150000</v>
      </c>
      <c r="P5" s="9">
        <f t="shared" si="0"/>
        <v>200000</v>
      </c>
      <c r="Q5" s="9">
        <f t="shared" si="0"/>
        <v>200000</v>
      </c>
      <c r="R5" s="9">
        <f t="shared" si="0"/>
        <v>200000</v>
      </c>
      <c r="S5" s="9">
        <f t="shared" si="0"/>
        <v>0</v>
      </c>
      <c r="T5" s="9">
        <f t="shared" si="0"/>
        <v>0</v>
      </c>
      <c r="U5" s="9">
        <f t="shared" si="0"/>
        <v>0</v>
      </c>
      <c r="V5" s="9">
        <f t="shared" si="0"/>
        <v>0</v>
      </c>
      <c r="W5" s="9">
        <f>SUM(K5:V5)</f>
        <v>1350000</v>
      </c>
    </row>
    <row r="6" spans="5:23">
      <c r="F6" s="81" t="s">
        <v>89</v>
      </c>
      <c r="G6" s="9">
        <v>5000000</v>
      </c>
      <c r="I6" s="81" t="s">
        <v>90</v>
      </c>
      <c r="J6" s="9">
        <f>+G6/J5</f>
        <v>100</v>
      </c>
      <c r="K6" s="9">
        <v>2</v>
      </c>
      <c r="L6" s="9">
        <v>3</v>
      </c>
      <c r="M6" s="9">
        <v>4</v>
      </c>
      <c r="N6" s="9">
        <v>3</v>
      </c>
      <c r="O6" s="9">
        <v>3</v>
      </c>
      <c r="P6" s="9">
        <v>4</v>
      </c>
      <c r="Q6" s="9">
        <v>4</v>
      </c>
      <c r="R6" s="9">
        <v>4</v>
      </c>
      <c r="S6" s="9"/>
      <c r="T6" s="9"/>
      <c r="U6" s="9"/>
      <c r="V6" s="9"/>
      <c r="W6" s="9"/>
    </row>
    <row r="7" spans="5:23"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5:23"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5:23">
      <c r="E9" s="81" t="s">
        <v>91</v>
      </c>
      <c r="J9" s="9">
        <v>500000</v>
      </c>
      <c r="K9" s="9">
        <v>500000</v>
      </c>
      <c r="L9" s="9">
        <v>500000</v>
      </c>
      <c r="M9" s="9">
        <v>500000</v>
      </c>
      <c r="N9" s="9">
        <v>500000</v>
      </c>
      <c r="O9" s="9">
        <v>500000</v>
      </c>
      <c r="P9" s="9">
        <v>500000</v>
      </c>
      <c r="Q9" s="9">
        <v>500000</v>
      </c>
      <c r="R9" s="9">
        <v>500000</v>
      </c>
      <c r="S9" s="9">
        <v>500000</v>
      </c>
      <c r="T9" s="9">
        <v>500000</v>
      </c>
      <c r="U9" s="9">
        <v>500000</v>
      </c>
      <c r="V9" s="9">
        <v>500000</v>
      </c>
      <c r="W9" s="9">
        <f>SUM(K9:V9)</f>
        <v>6000000</v>
      </c>
    </row>
    <row r="12" spans="5:23">
      <c r="E12" s="81" t="s">
        <v>92</v>
      </c>
      <c r="J12" s="81">
        <v>5000000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NICOLAS . CARRENO AMESTICA</cp:lastModifiedBy>
  <dcterms:created xsi:type="dcterms:W3CDTF">2022-10-18T13:55:40Z</dcterms:created>
  <dcterms:modified xsi:type="dcterms:W3CDTF">2025-12-03T23:31:13Z</dcterms:modified>
</cp:coreProperties>
</file>